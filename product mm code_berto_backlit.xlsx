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cankwan\Documents\General Data\"/>
    </mc:Choice>
  </mc:AlternateContent>
  <xr:revisionPtr revIDLastSave="0" documentId="8_{FB11F702-79B3-4063-B048-19F570ECAEA8}" xr6:coauthVersionLast="47" xr6:coauthVersionMax="47" xr10:uidLastSave="{00000000-0000-0000-0000-000000000000}"/>
  <bookViews>
    <workbookView xWindow="5844" yWindow="0" windowWidth="17280" windowHeight="8976" xr2:uid="{3B379B16-0C28-4AD6-954D-A8D12B6C1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S3" i="1" s="1"/>
  <c r="R2" i="1"/>
  <c r="S2" i="1" s="1"/>
  <c r="P2" i="1" l="1"/>
  <c r="P3" i="1"/>
</calcChain>
</file>

<file path=xl/sharedStrings.xml><?xml version="1.0" encoding="utf-8"?>
<sst xmlns="http://schemas.openxmlformats.org/spreadsheetml/2006/main" count="42" uniqueCount="33">
  <si>
    <t>MEGAMAN</t>
  </si>
  <si>
    <t>U</t>
  </si>
  <si>
    <t>220-240V</t>
  </si>
  <si>
    <t>4000K</t>
  </si>
  <si>
    <t>Brand</t>
    <phoneticPr fontId="0" type="noConversion"/>
  </si>
  <si>
    <t>Model No</t>
    <phoneticPr fontId="0" type="noConversion"/>
  </si>
  <si>
    <t>Universal/ customer specialiaze</t>
    <phoneticPr fontId="0" type="noConversion"/>
  </si>
  <si>
    <r>
      <rPr>
        <sz val="10"/>
        <color indexed="8"/>
        <rFont val="宋体"/>
        <charset val="134"/>
      </rPr>
      <t>灯具颜色</t>
    </r>
    <r>
      <rPr>
        <sz val="10"/>
        <color indexed="8"/>
        <rFont val="Calibri"/>
        <family val="2"/>
      </rPr>
      <t xml:space="preserve"> (Luminaires color)</t>
    </r>
  </si>
  <si>
    <r>
      <rPr>
        <sz val="10"/>
        <rFont val="宋体"/>
        <charset val="134"/>
      </rPr>
      <t xml:space="preserve">灯特色
</t>
    </r>
    <r>
      <rPr>
        <sz val="10"/>
        <rFont val="Calibri"/>
        <family val="2"/>
      </rPr>
      <t>(Special features)</t>
    </r>
  </si>
  <si>
    <t>watt</t>
    <phoneticPr fontId="0" type="noConversion"/>
  </si>
  <si>
    <t>Lamp base</t>
    <phoneticPr fontId="0" type="noConversion"/>
  </si>
  <si>
    <t>Colortemp.</t>
  </si>
  <si>
    <t>MM CODE</t>
    <phoneticPr fontId="0" type="noConversion"/>
  </si>
  <si>
    <t>Voltage</t>
    <phoneticPr fontId="0" type="noConversion"/>
  </si>
  <si>
    <r>
      <rPr>
        <sz val="10"/>
        <color indexed="8"/>
        <rFont val="宋体"/>
        <charset val="134"/>
      </rPr>
      <t xml:space="preserve">端子台
</t>
    </r>
    <r>
      <rPr>
        <sz val="10"/>
        <color indexed="8"/>
        <rFont val="Calibri"/>
        <family val="2"/>
      </rPr>
      <t>(Connector )</t>
    </r>
  </si>
  <si>
    <t>IPXX</t>
  </si>
  <si>
    <t>update packing method</t>
    <phoneticPr fontId="0" type="noConversion"/>
  </si>
  <si>
    <t>Remark</t>
    <phoneticPr fontId="0" type="noConversion"/>
  </si>
  <si>
    <t>EAN13 barcode</t>
    <phoneticPr fontId="0" type="noConversion"/>
  </si>
  <si>
    <r>
      <rPr>
        <sz val="10"/>
        <rFont val="宋体"/>
        <charset val="134"/>
      </rPr>
      <t>条形码前</t>
    </r>
    <r>
      <rPr>
        <sz val="10"/>
        <rFont val="Calibri"/>
        <family val="2"/>
      </rPr>
      <t>12</t>
    </r>
    <r>
      <rPr>
        <sz val="10"/>
        <rFont val="宋体"/>
        <charset val="134"/>
      </rPr>
      <t xml:space="preserve">位
</t>
    </r>
    <r>
      <rPr>
        <sz val="10"/>
        <rFont val="Calibri"/>
        <family val="2"/>
      </rPr>
      <t>(The first 12 digits of barcode)</t>
    </r>
  </si>
  <si>
    <r>
      <rPr>
        <sz val="10"/>
        <rFont val="宋体"/>
        <charset val="134"/>
      </rPr>
      <t>条形码的最后一位
（</t>
    </r>
    <r>
      <rPr>
        <sz val="10"/>
        <rFont val="Calibri"/>
        <family val="2"/>
      </rPr>
      <t xml:space="preserve"> The last digit of barcode</t>
    </r>
    <r>
      <rPr>
        <sz val="10"/>
        <rFont val="宋体"/>
        <charset val="134"/>
      </rPr>
      <t>）</t>
    </r>
  </si>
  <si>
    <t>Application date</t>
    <phoneticPr fontId="0" type="noConversion"/>
  </si>
  <si>
    <t xml:space="preserve">Inner box ITF14
</t>
    <phoneticPr fontId="0" type="noConversion"/>
  </si>
  <si>
    <t xml:space="preserve">Outer box ITF14
</t>
    <phoneticPr fontId="0" type="noConversion"/>
  </si>
  <si>
    <r>
      <rPr>
        <sz val="10"/>
        <rFont val="宋体"/>
        <charset val="134"/>
      </rPr>
      <t>备注</t>
    </r>
  </si>
  <si>
    <r>
      <t>FPL71900</t>
    </r>
    <r>
      <rPr>
        <sz val="10"/>
        <color indexed="10"/>
        <rFont val="Calibri"/>
        <family val="2"/>
      </rPr>
      <t>v1</t>
    </r>
    <r>
      <rPr>
        <sz val="10"/>
        <color indexed="8"/>
        <rFont val="Calibri"/>
        <family val="2"/>
      </rPr>
      <t>-ex/ta+LD247038-C0900</t>
    </r>
  </si>
  <si>
    <t>36W</t>
  </si>
  <si>
    <t>/</t>
  </si>
  <si>
    <t>MM12717</t>
  </si>
  <si>
    <r>
      <t xml:space="preserve">2PCS/pizza </t>
    </r>
    <r>
      <rPr>
        <sz val="10"/>
        <rFont val="宋体"/>
        <charset val="134"/>
      </rPr>
      <t>盒</t>
    </r>
  </si>
  <si>
    <t>Annie</t>
  </si>
  <si>
    <t>6500K</t>
  </si>
  <si>
    <t>MM12718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</si>
</sst>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8">
    <font>
      <sz val="11"/>
      <color theme="1"/>
      <name val="Arial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10"/>
      <name val="宋体"/>
      <charset val="134"/>
    </font>
    <font>
      <b/>
      <sz val="10"/>
      <name val="Calibri"/>
      <family val="2"/>
    </font>
    <font>
      <sz val="12"/>
      <name val="新細明體"/>
      <family val="1"/>
      <charset val="136"/>
    </font>
    <font>
      <sz val="10"/>
      <color indexed="8"/>
      <name val="Calibri"/>
      <family val="2"/>
    </font>
    <font>
      <sz val="10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/>
    <xf numFmtId="14" fontId="1" fillId="0" borderId="1" xfId="0" applyNumberFormat="1" applyFont="1" applyBorder="1"/>
  </cellXfs>
  <cellStyles count="2">
    <cellStyle name="Normal" xfId="0" builtinId="0"/>
    <cellStyle name="常规_2004-Range Master" xfId="1" xr:uid="{8317F0D0-4C62-428D-A643-698D68561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8040-B021-4A0B-B0C1-58372E59C467}">
  <dimension ref="A1:X5"/>
  <sheetViews>
    <sheetView tabSelected="1" workbookViewId="0">
      <selection activeCell="C12" sqref="C12"/>
    </sheetView>
  </sheetViews>
  <sheetFormatPr defaultRowHeight="13.8"/>
  <cols>
    <col min="1" max="1" width="1.796875" customWidth="1"/>
    <col min="3" max="3" width="32.296875" customWidth="1"/>
    <col min="4" max="4" width="8.19921875" customWidth="1"/>
    <col min="5" max="5" width="17.19921875" customWidth="1"/>
    <col min="16" max="16" width="16.19921875" customWidth="1"/>
    <col min="17" max="17" width="11.3984375" customWidth="1"/>
    <col min="18" max="18" width="25.296875" customWidth="1"/>
  </cols>
  <sheetData>
    <row r="1" spans="1:24" s="3" customFormat="1" ht="51" customHeight="1">
      <c r="A1" s="5"/>
      <c r="B1" s="6" t="s">
        <v>4</v>
      </c>
      <c r="C1" s="7" t="s">
        <v>5</v>
      </c>
      <c r="D1" s="8" t="s">
        <v>6</v>
      </c>
      <c r="E1" s="9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10" t="s">
        <v>14</v>
      </c>
      <c r="M1" s="10" t="s">
        <v>15</v>
      </c>
      <c r="N1" s="10" t="s">
        <v>16</v>
      </c>
      <c r="O1" s="8" t="s">
        <v>17</v>
      </c>
      <c r="P1" s="9" t="s">
        <v>18</v>
      </c>
      <c r="Q1" s="9" t="s">
        <v>12</v>
      </c>
      <c r="R1" s="9" t="s">
        <v>19</v>
      </c>
      <c r="S1" s="9" t="s">
        <v>20</v>
      </c>
      <c r="T1" s="11" t="s">
        <v>21</v>
      </c>
      <c r="U1" s="8"/>
      <c r="V1" s="12" t="s">
        <v>22</v>
      </c>
      <c r="W1" s="13" t="s">
        <v>23</v>
      </c>
      <c r="X1" s="3" t="s">
        <v>24</v>
      </c>
    </row>
    <row r="2" spans="1:24" s="4" customFormat="1">
      <c r="A2" s="1"/>
      <c r="B2" s="14" t="s">
        <v>0</v>
      </c>
      <c r="C2" s="15" t="s">
        <v>25</v>
      </c>
      <c r="D2" s="15" t="s">
        <v>1</v>
      </c>
      <c r="E2" s="15"/>
      <c r="F2" s="15"/>
      <c r="G2" s="15" t="s">
        <v>26</v>
      </c>
      <c r="H2" s="15" t="s">
        <v>27</v>
      </c>
      <c r="I2" s="15" t="s">
        <v>3</v>
      </c>
      <c r="J2" s="15" t="s">
        <v>28</v>
      </c>
      <c r="K2" s="15" t="s">
        <v>2</v>
      </c>
      <c r="L2" s="2"/>
      <c r="M2" s="2"/>
      <c r="N2" s="2"/>
      <c r="O2" s="15" t="s">
        <v>29</v>
      </c>
      <c r="P2" s="15" t="str">
        <f>R2&amp;S2</f>
        <v>4892657127171</v>
      </c>
      <c r="Q2" s="15">
        <v>12717</v>
      </c>
      <c r="R2" s="15" t="str">
        <f>"4892657"&amp;Q2</f>
        <v>489265712717</v>
      </c>
      <c r="S2" s="15">
        <f>IF(VALUE(RIGHT(3*(MID(R2,2,1)+MID(R2,4,1)+MID(R2,6,1)+MID(R2,8,1)+MID(R2,10,1)+MID(R2,12,1))+(MID(R2,1,1)+MID(R2,3,1)+MID(R2,5,1)+MID(R2,7,1)+MID(R2,9,1)+MID(R2,11,1)),1))&lt;&gt;0,10-RIGHT(3*(MID(R2,2,1)+MID(R2,4,1)+MID(R2,6,1)+MID(R2,8,1)+MID(R2,10,1)+MID(R2,12,1))+(MID(R2,1,1)+MID(R2,3,1)+MID(R2,5,1)+MID(R2,7,1)+MID(R2,9,1)+MID(R2,11,1)),1),0)</f>
        <v>1</v>
      </c>
      <c r="T2" s="16">
        <v>45828</v>
      </c>
      <c r="U2" s="15" t="s">
        <v>30</v>
      </c>
      <c r="V2" s="3"/>
      <c r="W2" s="3"/>
      <c r="X2" s="3"/>
    </row>
    <row r="3" spans="1:24" s="4" customFormat="1">
      <c r="A3" s="1"/>
      <c r="B3" s="14" t="s">
        <v>0</v>
      </c>
      <c r="C3" s="15" t="s">
        <v>25</v>
      </c>
      <c r="D3" s="15" t="s">
        <v>1</v>
      </c>
      <c r="E3" s="15"/>
      <c r="F3" s="15"/>
      <c r="G3" s="15" t="s">
        <v>26</v>
      </c>
      <c r="H3" s="15" t="s">
        <v>27</v>
      </c>
      <c r="I3" s="15" t="s">
        <v>31</v>
      </c>
      <c r="J3" s="15" t="s">
        <v>32</v>
      </c>
      <c r="K3" s="15" t="s">
        <v>2</v>
      </c>
      <c r="L3" s="2"/>
      <c r="M3" s="2"/>
      <c r="N3" s="2"/>
      <c r="O3" s="15" t="s">
        <v>29</v>
      </c>
      <c r="P3" s="15" t="str">
        <f>R3&amp;S3</f>
        <v>4892657127188</v>
      </c>
      <c r="Q3" s="15">
        <v>12718</v>
      </c>
      <c r="R3" s="15" t="str">
        <f>"4892657"&amp;Q3</f>
        <v>489265712718</v>
      </c>
      <c r="S3" s="15">
        <f>IF(VALUE(RIGHT(3*(MID(R3,2,1)+MID(R3,4,1)+MID(R3,6,1)+MID(R3,8,1)+MID(R3,10,1)+MID(R3,12,1))+(MID(R3,1,1)+MID(R3,3,1)+MID(R3,5,1)+MID(R3,7,1)+MID(R3,9,1)+MID(R3,11,1)),1))&lt;&gt;0,10-RIGHT(3*(MID(R3,2,1)+MID(R3,4,1)+MID(R3,6,1)+MID(R3,8,1)+MID(R3,10,1)+MID(R3,12,1))+(MID(R3,1,1)+MID(R3,3,1)+MID(R3,5,1)+MID(R3,7,1)+MID(R3,9,1)+MID(R3,11,1)),1),0)</f>
        <v>8</v>
      </c>
      <c r="T3" s="16">
        <v>45828</v>
      </c>
      <c r="U3" s="15" t="s">
        <v>30</v>
      </c>
      <c r="V3" s="3"/>
      <c r="W3" s="3"/>
      <c r="X3" s="3"/>
    </row>
    <row r="4" spans="1:24" s="4" customFormat="1">
      <c r="A4" s="1"/>
      <c r="B4" s="14"/>
      <c r="C4" s="15"/>
      <c r="D4" s="15"/>
      <c r="E4" s="15"/>
      <c r="F4" s="15"/>
      <c r="G4" s="15"/>
      <c r="H4" s="15"/>
      <c r="I4" s="15"/>
      <c r="J4" s="15"/>
      <c r="K4" s="15"/>
      <c r="L4" s="2"/>
      <c r="M4" s="2"/>
      <c r="N4" s="2"/>
      <c r="O4" s="15"/>
      <c r="P4" s="15"/>
      <c r="Q4" s="15"/>
      <c r="R4" s="15"/>
      <c r="S4" s="15"/>
      <c r="T4" s="16"/>
      <c r="U4" s="15"/>
      <c r="V4" s="3"/>
      <c r="W4" s="3"/>
      <c r="X4" s="3"/>
    </row>
    <row r="5" spans="1:24" s="4" customFormat="1">
      <c r="A5" s="1"/>
      <c r="B5" s="14"/>
      <c r="C5" s="15"/>
      <c r="D5" s="15"/>
      <c r="E5" s="15"/>
      <c r="F5" s="15"/>
      <c r="G5" s="15"/>
      <c r="H5" s="15"/>
      <c r="I5" s="15"/>
      <c r="J5" s="15"/>
      <c r="K5" s="15"/>
      <c r="L5" s="2"/>
      <c r="M5" s="2"/>
      <c r="N5" s="2"/>
      <c r="O5" s="15"/>
      <c r="P5" s="15"/>
      <c r="Q5" s="15"/>
      <c r="R5" s="15"/>
      <c r="S5" s="15"/>
      <c r="T5" s="16"/>
      <c r="U5" s="15"/>
      <c r="V5" s="3"/>
      <c r="W5" s="3"/>
      <c r="X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duncankwan</dc:creator>
  <cp:lastModifiedBy>duncankwan</cp:lastModifiedBy>
  <dcterms:created xsi:type="dcterms:W3CDTF">2026-06-15T06:51:15Z</dcterms:created>
  <dcterms:modified xsi:type="dcterms:W3CDTF">2026-06-15T07:30:07Z</dcterms:modified>
</cp:coreProperties>
</file>